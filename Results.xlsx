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gender classification\Neural-Networks-and-Deep-Learning-Project\"/>
    </mc:Choice>
  </mc:AlternateContent>
  <xr:revisionPtr revIDLastSave="0" documentId="13_ncr:1_{8FB02350-E053-40AD-B19F-15586022B179}" xr6:coauthVersionLast="47" xr6:coauthVersionMax="47" xr10:uidLastSave="{00000000-0000-0000-0000-000000000000}"/>
  <bookViews>
    <workbookView xWindow="6825" yWindow="4515" windowWidth="28800" windowHeight="15345" xr2:uid="{443E6BF5-3B8D-4A17-A50D-7ACF8BB371E2}"/>
  </bookViews>
  <sheets>
    <sheet name="Sheet1" sheetId="1" r:id="rId1"/>
    <sheet name="Sheet3" sheetId="3" r:id="rId2"/>
    <sheet name="Sheet2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2" i="3"/>
  <c r="E2" i="1"/>
  <c r="E3" i="1"/>
  <c r="E4" i="1"/>
  <c r="E5" i="1"/>
  <c r="E6" i="1"/>
  <c r="E7" i="1"/>
  <c r="E12" i="1"/>
  <c r="E13" i="1"/>
  <c r="B14" i="1"/>
  <c r="C14" i="1"/>
  <c r="D14" i="1"/>
  <c r="E8" i="1"/>
  <c r="E9" i="1"/>
  <c r="E10" i="1"/>
  <c r="E11" i="1"/>
</calcChain>
</file>

<file path=xl/sharedStrings.xml><?xml version="1.0" encoding="utf-8"?>
<sst xmlns="http://schemas.openxmlformats.org/spreadsheetml/2006/main" count="42" uniqueCount="25">
  <si>
    <t>ViT</t>
  </si>
  <si>
    <t>CvT</t>
  </si>
  <si>
    <t>Model\Training data size</t>
  </si>
  <si>
    <t>4000</t>
  </si>
  <si>
    <t>8000</t>
  </si>
  <si>
    <t>12000</t>
  </si>
  <si>
    <t>Average</t>
  </si>
  <si>
    <t>Swin V2</t>
  </si>
  <si>
    <t>ResNet</t>
  </si>
  <si>
    <t>ResNet (fine-tune)</t>
  </si>
  <si>
    <t>ViT (fine-tune)</t>
  </si>
  <si>
    <t>CvT (fine-tune)</t>
  </si>
  <si>
    <t>Swin V2 (fine-tune)</t>
  </si>
  <si>
    <t>InceptionV3</t>
  </si>
  <si>
    <t>InceptionV3 (fine-tune)</t>
  </si>
  <si>
    <t>EfficientNetV2</t>
  </si>
  <si>
    <t>EfficientNetV2 (fine-tune)</t>
  </si>
  <si>
    <t>Row Labels</t>
  </si>
  <si>
    <t>Grand Total</t>
  </si>
  <si>
    <t>Sum of 4000</t>
  </si>
  <si>
    <t>Sum of 8000</t>
  </si>
  <si>
    <t>Sum of 12000</t>
  </si>
  <si>
    <t>SwinV2 (fine-tune)</t>
  </si>
  <si>
    <t>SwinV2</t>
  </si>
  <si>
    <t>EfficientNetV2 (fine-tune) trained on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</si>
</sst>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1">
    <xf numFmtId="0" fontId="0" fillId="0" borderId="0" xfId="0"/>
    <xf numFmtId="10" fontId="0" fillId="0" borderId="0" xfId="0" applyNumberFormat="1"/>
    <xf numFmtId="0" fontId="1" fillId="0" borderId="0" xfId="0" applyFont="1"/>
    <xf numFmtId="10" fontId="0" fillId="0" borderId="0" xfId="0" applyNumberFormat="1" applyAlignment="1">
      <alignment horizontal="center"/>
    </xf>
    <xf numFmtId="10" fontId="3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10" fontId="5" fillId="0" borderId="0" xfId="0" applyNumberFormat="1" applyFont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</dxf>
    <dxf>
      <border outline="0">
        <bottom style="thin">
          <color theme="4"/>
        </bottom>
      </border>
    </dxf>
    <dxf>
      <border outline="0">
        <top style="thin">
          <color theme="4"/>
        </top>
      </border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800"/>
              <a:t>Accuracy of</a:t>
            </a:r>
            <a:r>
              <a:rPr lang="en-SG" sz="1800" baseline="0"/>
              <a:t> fine-tuned models across data sizes</a:t>
            </a:r>
            <a:endParaRPr lang="en-SG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Sheet1!$A$3</c:f>
              <c:strCache>
                <c:ptCount val="1"/>
                <c:pt idx="0">
                  <c:v>ResNet (fine-tune)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Sheet1!$B$1:$D$1</c:f>
              <c:strCache>
                <c:ptCount val="3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</c:strCache>
            </c:strRef>
          </c:cat>
          <c:val>
            <c:numRef>
              <c:f>Sheet1!$B$3:$D$3</c:f>
              <c:numCache>
                <c:formatCode>0.00%</c:formatCode>
                <c:ptCount val="3"/>
                <c:pt idx="0">
                  <c:v>0.95299999999999996</c:v>
                </c:pt>
                <c:pt idx="1">
                  <c:v>0.96799999999999997</c:v>
                </c:pt>
                <c:pt idx="2">
                  <c:v>0.97299999999999998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C-4867-A9E8-1601B1284173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InceptionV3 (fine-tune)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Sheet1!$B$1:$D$1</c:f>
              <c:strCache>
                <c:ptCount val="3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</c:strCache>
            </c:strRef>
          </c:cat>
          <c:val>
            <c:numRef>
              <c:f>Sheet1!$B$5:$D$5</c:f>
              <c:numCache>
                <c:formatCode>0.00%</c:formatCode>
                <c:ptCount val="3"/>
                <c:pt idx="0">
                  <c:v>0.95</c:v>
                </c:pt>
                <c:pt idx="1">
                  <c:v>0.97099999999999997</c:v>
                </c:pt>
                <c:pt idx="2">
                  <c:v>0.97599999999999998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3C-4867-A9E8-1601B1284173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EfficientNetV2 (fine-tune)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Sheet1!$B$1:$D$1</c:f>
              <c:strCache>
                <c:ptCount val="3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</c:strCache>
            </c:strRef>
          </c:cat>
          <c:val>
            <c:numRef>
              <c:f>Sheet1!$B$7:$D$7</c:f>
              <c:numCache>
                <c:formatCode>0.00%</c:formatCode>
                <c:ptCount val="3"/>
                <c:pt idx="0">
                  <c:v>0.96</c:v>
                </c:pt>
                <c:pt idx="1">
                  <c:v>0.97299999999999998</c:v>
                </c:pt>
                <c:pt idx="2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3C-4867-A9E8-1601B1284173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ViT (fine-tune)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Sheet1!$B$1:$D$1</c:f>
              <c:strCache>
                <c:ptCount val="3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</c:strCache>
            </c:strRef>
          </c:cat>
          <c:val>
            <c:numRef>
              <c:f>Sheet1!$B$9:$D$9</c:f>
              <c:numCache>
                <c:formatCode>0.00%</c:formatCode>
                <c:ptCount val="3"/>
                <c:pt idx="0">
                  <c:v>0.94</c:v>
                </c:pt>
                <c:pt idx="1">
                  <c:v>0.96</c:v>
                </c:pt>
                <c:pt idx="2">
                  <c:v>0.96799999999999997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3C-4867-A9E8-1601B1284173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CvT (fine-tune)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Sheet1!$B$1:$D$1</c:f>
              <c:strCache>
                <c:ptCount val="3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</c:strCache>
            </c:strRef>
          </c:cat>
          <c:val>
            <c:numRef>
              <c:f>Sheet1!$B$11:$D$11</c:f>
              <c:numCache>
                <c:formatCode>0.00%</c:formatCode>
                <c:ptCount val="3"/>
                <c:pt idx="0">
                  <c:v>0.93100000000000005</c:v>
                </c:pt>
                <c:pt idx="1">
                  <c:v>0.96699999999999997</c:v>
                </c:pt>
                <c:pt idx="2">
                  <c:v>0.97199999999999998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3C-4867-A9E8-1601B1284173}"/>
            </c:ext>
          </c:extLst>
        </c:ser>
        <c:ser>
          <c:idx val="11"/>
          <c:order val="11"/>
          <c:tx>
            <c:strRef>
              <c:f>Sheet1!$A$13</c:f>
              <c:strCache>
                <c:ptCount val="1"/>
                <c:pt idx="0">
                  <c:v>SwinV2 (fine-tune)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Sheet1!$B$1:$D$1</c:f>
              <c:strCache>
                <c:ptCount val="3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</c:strCache>
            </c:strRef>
          </c:cat>
          <c:val>
            <c:numRef>
              <c:f>Sheet1!$B$13:$D$13</c:f>
              <c:numCache>
                <c:formatCode>0.00%</c:formatCode>
                <c:ptCount val="3"/>
                <c:pt idx="0">
                  <c:v>0.94899999999999995</c:v>
                </c:pt>
                <c:pt idx="1">
                  <c:v>0.96199999999999997</c:v>
                </c:pt>
                <c:pt idx="2">
                  <c:v>0.97299999999999998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A3C-4867-A9E8-1601B1284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368527"/>
        <c:axId val="2773757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Sheet1!$A$2</c15:sqref>
                        </c15:formulaRef>
                      </c:ext>
                    </c:extLst>
                    <c:strCache>
                      <c:ptCount val="1"/>
                      <c:pt idx="0">
                        <c:v>ResNet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Sheet1!$B$1:$D$1</c15:sqref>
                        </c15:formulaRef>
                      </c:ext>
                    </c:extLst>
                    <c:strCache>
                      <c:ptCount val="3"/>
                      <c:pt idx="0">
                        <c:v>4000</c:v>
                      </c:pt>
                      <c:pt idx="1">
                        <c:v>8000</c:v>
                      </c:pt>
                      <c:pt idx="2">
                        <c:v>12000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Sheet1!$B$2:$D$2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0.82299999999999995</c:v>
                      </c:pt>
                      <c:pt idx="1">
                        <c:v>0.90200000000000002</c:v>
                      </c:pt>
                      <c:pt idx="2">
                        <c:v>0.91300000000000003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A3C-4867-A9E8-1601B128417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InceptionV3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Sheet1!$B$1:$D$1</c15:sqref>
                        </c15:formulaRef>
                      </c:ext>
                    </c:extLst>
                    <c:strCache>
                      <c:ptCount val="3"/>
                      <c:pt idx="0">
                        <c:v>4000</c:v>
                      </c:pt>
                      <c:pt idx="1">
                        <c:v>8000</c:v>
                      </c:pt>
                      <c:pt idx="2">
                        <c:v>12000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Sheet1!$B$4:$D$4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0.78100000000000003</c:v>
                      </c:pt>
                      <c:pt idx="1">
                        <c:v>0.88200000000000001</c:v>
                      </c:pt>
                      <c:pt idx="2">
                        <c:v>0.89700000000000002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3C-4867-A9E8-1601B128417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EfficientNetV2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Sheet1!$B$1:$D$1</c15:sqref>
                        </c15:formulaRef>
                      </c:ext>
                    </c:extLst>
                    <c:strCache>
                      <c:ptCount val="3"/>
                      <c:pt idx="0">
                        <c:v>4000</c:v>
                      </c:pt>
                      <c:pt idx="1">
                        <c:v>8000</c:v>
                      </c:pt>
                      <c:pt idx="2">
                        <c:v>12000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Sheet1!$B$6:$D$6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0.56699999999999995</c:v>
                      </c:pt>
                      <c:pt idx="1">
                        <c:v>0.80300000000000005</c:v>
                      </c:pt>
                      <c:pt idx="2">
                        <c:v>0.92800000000000005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3C-4867-A9E8-1601B128417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ViT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Sheet1!$B$1:$D$1</c15:sqref>
                        </c15:formulaRef>
                      </c:ext>
                    </c:extLst>
                    <c:strCache>
                      <c:ptCount val="3"/>
                      <c:pt idx="0">
                        <c:v>4000</c:v>
                      </c:pt>
                      <c:pt idx="1">
                        <c:v>8000</c:v>
                      </c:pt>
                      <c:pt idx="2">
                        <c:v>12000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Sheet1!$B$8:$D$8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0.77200000000000002</c:v>
                      </c:pt>
                      <c:pt idx="1">
                        <c:v>0.75700000000000001</c:v>
                      </c:pt>
                      <c:pt idx="2">
                        <c:v>0.81299999999999994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3C-4867-A9E8-1601B128417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CvT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Sheet1!$B$1:$D$1</c15:sqref>
                        </c15:formulaRef>
                      </c:ext>
                    </c:extLst>
                    <c:strCache>
                      <c:ptCount val="3"/>
                      <c:pt idx="0">
                        <c:v>4000</c:v>
                      </c:pt>
                      <c:pt idx="1">
                        <c:v>8000</c:v>
                      </c:pt>
                      <c:pt idx="2">
                        <c:v>12000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Sheet1!$B$10:$D$10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0.79600000000000004</c:v>
                      </c:pt>
                      <c:pt idx="1">
                        <c:v>0.79900000000000004</c:v>
                      </c:pt>
                      <c:pt idx="2">
                        <c:v>0.89900000000000002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A3C-4867-A9E8-1601B128417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SwinV2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Sheet1!$B$1:$D$1</c15:sqref>
                        </c15:formulaRef>
                      </c:ext>
                    </c:extLst>
                    <c:strCache>
                      <c:ptCount val="3"/>
                      <c:pt idx="0">
                        <c:v>4000</c:v>
                      </c:pt>
                      <c:pt idx="1">
                        <c:v>8000</c:v>
                      </c:pt>
                      <c:pt idx="2">
                        <c:v>12000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Sheet1!$B$12:$D$12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0.504</c:v>
                      </c:pt>
                      <c:pt idx="1">
                        <c:v>0.84699999999999998</c:v>
                      </c:pt>
                      <c:pt idx="2">
                        <c:v>0.57399999999999995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A3C-4867-A9E8-1601B1284173}"/>
                  </c:ext>
                </c:extLst>
              </c15:ser>
            </c15:filteredLineSeries>
          </c:ext>
        </c:extLst>
      </c:lineChart>
      <c:catAx>
        <c:axId val="27736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75727"/>
        <c:crosses val="autoZero"/>
        <c:auto val="1"/>
        <c:lblAlgn val="ctr"/>
        <c:lblOffset val="100"/>
        <c:noMultiLvlLbl val="0"/>
      </c:catAx>
      <c:valAx>
        <c:axId val="277375727"/>
        <c:scaling>
          <c:orientation val="minMax"/>
          <c:max val="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6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of models across</a:t>
            </a:r>
            <a:r>
              <a:rPr lang="en-US" baseline="0"/>
              <a:t> data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4000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ResNet</c:v>
                </c:pt>
                <c:pt idx="1">
                  <c:v>ResNet (fine-tune)</c:v>
                </c:pt>
                <c:pt idx="2">
                  <c:v>InceptionV3</c:v>
                </c:pt>
                <c:pt idx="3">
                  <c:v>InceptionV3 (fine-tune)</c:v>
                </c:pt>
                <c:pt idx="4">
                  <c:v>EfficientNetV2</c:v>
                </c:pt>
                <c:pt idx="5">
                  <c:v>EfficientNetV2 (fine-tune)</c:v>
                </c:pt>
                <c:pt idx="6">
                  <c:v>ViT</c:v>
                </c:pt>
                <c:pt idx="7">
                  <c:v>ViT (fine-tune)</c:v>
                </c:pt>
                <c:pt idx="8">
                  <c:v>CvT</c:v>
                </c:pt>
                <c:pt idx="9">
                  <c:v>CvT (fine-tune)</c:v>
                </c:pt>
                <c:pt idx="10">
                  <c:v>SwinV2</c:v>
                </c:pt>
                <c:pt idx="11">
                  <c:v>SwinV2 (fine-tune)</c:v>
                </c:pt>
              </c:strCache>
            </c:strRef>
          </c:cat>
          <c:val>
            <c:numRef>
              <c:f>Sheet1!$B$2:$B$13</c:f>
              <c:numCache>
                <c:formatCode>0.00%</c:formatCode>
                <c:ptCount val="12"/>
                <c:pt idx="0">
                  <c:v>0.82299999999999995</c:v>
                </c:pt>
                <c:pt idx="1">
                  <c:v>0.95299999999999996</c:v>
                </c:pt>
                <c:pt idx="2">
                  <c:v>0.78100000000000003</c:v>
                </c:pt>
                <c:pt idx="3">
                  <c:v>0.95</c:v>
                </c:pt>
                <c:pt idx="4">
                  <c:v>0.56699999999999995</c:v>
                </c:pt>
                <c:pt idx="5">
                  <c:v>0.96</c:v>
                </c:pt>
                <c:pt idx="6">
                  <c:v>0.77200000000000002</c:v>
                </c:pt>
                <c:pt idx="7">
                  <c:v>0.94</c:v>
                </c:pt>
                <c:pt idx="8">
                  <c:v>0.79600000000000004</c:v>
                </c:pt>
                <c:pt idx="9">
                  <c:v>0.93100000000000005</c:v>
                </c:pt>
                <c:pt idx="10">
                  <c:v>0.504</c:v>
                </c:pt>
                <c:pt idx="11">
                  <c:v>0.94899999999999995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1-4A6A-8B9C-9F22F155504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8000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ResNet</c:v>
                </c:pt>
                <c:pt idx="1">
                  <c:v>ResNet (fine-tune)</c:v>
                </c:pt>
                <c:pt idx="2">
                  <c:v>InceptionV3</c:v>
                </c:pt>
                <c:pt idx="3">
                  <c:v>InceptionV3 (fine-tune)</c:v>
                </c:pt>
                <c:pt idx="4">
                  <c:v>EfficientNetV2</c:v>
                </c:pt>
                <c:pt idx="5">
                  <c:v>EfficientNetV2 (fine-tune)</c:v>
                </c:pt>
                <c:pt idx="6">
                  <c:v>ViT</c:v>
                </c:pt>
                <c:pt idx="7">
                  <c:v>ViT (fine-tune)</c:v>
                </c:pt>
                <c:pt idx="8">
                  <c:v>CvT</c:v>
                </c:pt>
                <c:pt idx="9">
                  <c:v>CvT (fine-tune)</c:v>
                </c:pt>
                <c:pt idx="10">
                  <c:v>SwinV2</c:v>
                </c:pt>
                <c:pt idx="11">
                  <c:v>SwinV2 (fine-tune)</c:v>
                </c:pt>
              </c:strCache>
            </c:strRef>
          </c:cat>
          <c:val>
            <c:numRef>
              <c:f>Sheet1!$C$2:$C$13</c:f>
              <c:numCache>
                <c:formatCode>0.00%</c:formatCode>
                <c:ptCount val="12"/>
                <c:pt idx="0">
                  <c:v>0.90200000000000002</c:v>
                </c:pt>
                <c:pt idx="1">
                  <c:v>0.96799999999999997</c:v>
                </c:pt>
                <c:pt idx="2">
                  <c:v>0.88200000000000001</c:v>
                </c:pt>
                <c:pt idx="3">
                  <c:v>0.97099999999999997</c:v>
                </c:pt>
                <c:pt idx="4">
                  <c:v>0.80300000000000005</c:v>
                </c:pt>
                <c:pt idx="5">
                  <c:v>0.97299999999999998</c:v>
                </c:pt>
                <c:pt idx="6">
                  <c:v>0.75700000000000001</c:v>
                </c:pt>
                <c:pt idx="7">
                  <c:v>0.96</c:v>
                </c:pt>
                <c:pt idx="8">
                  <c:v>0.79900000000000004</c:v>
                </c:pt>
                <c:pt idx="9">
                  <c:v>0.96699999999999997</c:v>
                </c:pt>
                <c:pt idx="10">
                  <c:v>0.84699999999999998</c:v>
                </c:pt>
                <c:pt idx="11">
                  <c:v>0.96199999999999997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61-4A6A-8B9C-9F22F155504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12000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ResNet</c:v>
                </c:pt>
                <c:pt idx="1">
                  <c:v>ResNet (fine-tune)</c:v>
                </c:pt>
                <c:pt idx="2">
                  <c:v>InceptionV3</c:v>
                </c:pt>
                <c:pt idx="3">
                  <c:v>InceptionV3 (fine-tune)</c:v>
                </c:pt>
                <c:pt idx="4">
                  <c:v>EfficientNetV2</c:v>
                </c:pt>
                <c:pt idx="5">
                  <c:v>EfficientNetV2 (fine-tune)</c:v>
                </c:pt>
                <c:pt idx="6">
                  <c:v>ViT</c:v>
                </c:pt>
                <c:pt idx="7">
                  <c:v>ViT (fine-tune)</c:v>
                </c:pt>
                <c:pt idx="8">
                  <c:v>CvT</c:v>
                </c:pt>
                <c:pt idx="9">
                  <c:v>CvT (fine-tune)</c:v>
                </c:pt>
                <c:pt idx="10">
                  <c:v>SwinV2</c:v>
                </c:pt>
                <c:pt idx="11">
                  <c:v>SwinV2 (fine-tune)</c:v>
                </c:pt>
              </c:strCache>
            </c:strRef>
          </c:cat>
          <c:val>
            <c:numRef>
              <c:f>Sheet1!$D$2:$D$13</c:f>
              <c:numCache>
                <c:formatCode>0.00%</c:formatCode>
                <c:ptCount val="12"/>
                <c:pt idx="0">
                  <c:v>0.91300000000000003</c:v>
                </c:pt>
                <c:pt idx="1">
                  <c:v>0.97299999999999998</c:v>
                </c:pt>
                <c:pt idx="2">
                  <c:v>0.89700000000000002</c:v>
                </c:pt>
                <c:pt idx="3">
                  <c:v>0.97599999999999998</c:v>
                </c:pt>
                <c:pt idx="4">
                  <c:v>0.92800000000000005</c:v>
                </c:pt>
                <c:pt idx="5">
                  <c:v>0.98</c:v>
                </c:pt>
                <c:pt idx="6">
                  <c:v>0.81299999999999994</c:v>
                </c:pt>
                <c:pt idx="7">
                  <c:v>0.96799999999999997</c:v>
                </c:pt>
                <c:pt idx="8">
                  <c:v>0.89900000000000002</c:v>
                </c:pt>
                <c:pt idx="9">
                  <c:v>0.97199999999999998</c:v>
                </c:pt>
                <c:pt idx="10">
                  <c:v>0.57399999999999995</c:v>
                </c:pt>
                <c:pt idx="11">
                  <c:v>0.97299999999999998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61-4A6A-8B9C-9F22F1555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7399727"/>
        <c:axId val="277396847"/>
      </c:barChart>
      <c:catAx>
        <c:axId val="27739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96847"/>
        <c:crosses val="autoZero"/>
        <c:auto val="1"/>
        <c:lblAlgn val="ctr"/>
        <c:lblOffset val="100"/>
        <c:noMultiLvlLbl val="0"/>
      </c:catAx>
      <c:valAx>
        <c:axId val="277396847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9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600"/>
              <a:t>Accuracy of</a:t>
            </a:r>
            <a:r>
              <a:rPr lang="en-SG" sz="1600" baseline="0"/>
              <a:t> models trained from scratch across data sizes</a:t>
            </a:r>
            <a:endParaRPr lang="en-SG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ResNet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Sheet1!$B$1:$D$1</c:f>
              <c:strCache>
                <c:ptCount val="3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</c:strCache>
              <c:extLst xmlns:c15="http://schemas.microsoft.com/office/drawing/2012/chart"/>
            </c:strRef>
          </c:cat>
          <c:val>
            <c:numRef>
              <c:f>Sheet1!$B$2:$D$2</c:f>
              <c:numCache>
                <c:formatCode>0.00%</c:formatCode>
                <c:ptCount val="3"/>
                <c:pt idx="0">
                  <c:v>0.82299999999999995</c:v>
                </c:pt>
                <c:pt idx="1">
                  <c:v>0.90200000000000002</c:v>
                </c:pt>
                <c:pt idx="2">
                  <c:v>0.91300000000000003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03F8-41D8-8385-F19221234BD9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InceptionV3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Sheet1!$B$1:$D$1</c:f>
              <c:strCache>
                <c:ptCount val="3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</c:strCache>
              <c:extLst xmlns:c15="http://schemas.microsoft.com/office/drawing/2012/chart"/>
            </c:strRef>
          </c:cat>
          <c:val>
            <c:numRef>
              <c:f>Sheet1!$B$4:$D$4</c:f>
              <c:numCache>
                <c:formatCode>0.00%</c:formatCode>
                <c:ptCount val="3"/>
                <c:pt idx="0">
                  <c:v>0.78100000000000003</c:v>
                </c:pt>
                <c:pt idx="1">
                  <c:v>0.88200000000000001</c:v>
                </c:pt>
                <c:pt idx="2">
                  <c:v>0.89700000000000002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7-03F8-41D8-8385-F19221234BD9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EfficientNetV2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Sheet1!$B$1:$D$1</c:f>
              <c:strCache>
                <c:ptCount val="3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</c:strCache>
              <c:extLst xmlns:c15="http://schemas.microsoft.com/office/drawing/2012/chart"/>
            </c:strRef>
          </c:cat>
          <c:val>
            <c:numRef>
              <c:f>Sheet1!$B$6:$D$6</c:f>
              <c:numCache>
                <c:formatCode>0.00%</c:formatCode>
                <c:ptCount val="3"/>
                <c:pt idx="0">
                  <c:v>0.56699999999999995</c:v>
                </c:pt>
                <c:pt idx="1">
                  <c:v>0.80300000000000005</c:v>
                </c:pt>
                <c:pt idx="2">
                  <c:v>0.92800000000000005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8-03F8-41D8-8385-F19221234BD9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ViT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Sheet1!$B$1:$D$1</c:f>
              <c:strCache>
                <c:ptCount val="3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</c:strCache>
              <c:extLst xmlns:c15="http://schemas.microsoft.com/office/drawing/2012/chart"/>
            </c:strRef>
          </c:cat>
          <c:val>
            <c:numRef>
              <c:f>Sheet1!$B$8:$D$8</c:f>
              <c:numCache>
                <c:formatCode>0.00%</c:formatCode>
                <c:ptCount val="3"/>
                <c:pt idx="0">
                  <c:v>0.77200000000000002</c:v>
                </c:pt>
                <c:pt idx="1">
                  <c:v>0.75700000000000001</c:v>
                </c:pt>
                <c:pt idx="2">
                  <c:v>0.81299999999999994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9-03F8-41D8-8385-F19221234BD9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CvT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Sheet1!$B$1:$D$1</c:f>
              <c:strCache>
                <c:ptCount val="3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</c:strCache>
              <c:extLst xmlns:c15="http://schemas.microsoft.com/office/drawing/2012/chart"/>
            </c:strRef>
          </c:cat>
          <c:val>
            <c:numRef>
              <c:f>Sheet1!$B$10:$D$10</c:f>
              <c:numCache>
                <c:formatCode>0.00%</c:formatCode>
                <c:ptCount val="3"/>
                <c:pt idx="0">
                  <c:v>0.79600000000000004</c:v>
                </c:pt>
                <c:pt idx="1">
                  <c:v>0.79900000000000004</c:v>
                </c:pt>
                <c:pt idx="2">
                  <c:v>0.89900000000000002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A-03F8-41D8-8385-F19221234BD9}"/>
            </c:ext>
          </c:extLst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SwinV2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Sheet1!$B$1:$D$1</c:f>
              <c:strCache>
                <c:ptCount val="3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</c:strCache>
              <c:extLst xmlns:c15="http://schemas.microsoft.com/office/drawing/2012/chart"/>
            </c:strRef>
          </c:cat>
          <c:val>
            <c:numRef>
              <c:f>Sheet1!$B$12:$D$12</c:f>
              <c:numCache>
                <c:formatCode>0.00%</c:formatCode>
                <c:ptCount val="3"/>
                <c:pt idx="0">
                  <c:v>0.504</c:v>
                </c:pt>
                <c:pt idx="1">
                  <c:v>0.84699999999999998</c:v>
                </c:pt>
                <c:pt idx="2">
                  <c:v>0.57399999999999995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B-03F8-41D8-8385-F19221234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368527"/>
        <c:axId val="2773757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Sheet1!$A$3</c15:sqref>
                        </c15:formulaRef>
                      </c:ext>
                    </c:extLst>
                    <c:strCache>
                      <c:ptCount val="1"/>
                      <c:pt idx="0">
                        <c:v>ResNet (fine-tune)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Sheet1!$B$1:$D$1</c15:sqref>
                        </c15:formulaRef>
                      </c:ext>
                    </c:extLst>
                    <c:strCache>
                      <c:ptCount val="3"/>
                      <c:pt idx="0">
                        <c:v>4000</c:v>
                      </c:pt>
                      <c:pt idx="1">
                        <c:v>8000</c:v>
                      </c:pt>
                      <c:pt idx="2">
                        <c:v>12000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Sheet1!$B$3:$D$3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0.95299999999999996</c:v>
                      </c:pt>
                      <c:pt idx="1">
                        <c:v>0.96799999999999997</c:v>
                      </c:pt>
                      <c:pt idx="2">
                        <c:v>0.97299999999999998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3F8-41D8-8385-F19221234BD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InceptionV3 (fine-tune)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Sheet1!$B$1:$D$1</c15:sqref>
                        </c15:formulaRef>
                      </c:ext>
                    </c:extLst>
                    <c:strCache>
                      <c:ptCount val="3"/>
                      <c:pt idx="0">
                        <c:v>4000</c:v>
                      </c:pt>
                      <c:pt idx="1">
                        <c:v>8000</c:v>
                      </c:pt>
                      <c:pt idx="2">
                        <c:v>12000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Sheet1!$B$5:$D$5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0.95</c:v>
                      </c:pt>
                      <c:pt idx="1">
                        <c:v>0.97099999999999997</c:v>
                      </c:pt>
                      <c:pt idx="2">
                        <c:v>0.97599999999999998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3F8-41D8-8385-F19221234BD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Sheet1!$A$7</c15:sqref>
                        </c15:formulaRef>
                      </c:ext>
                    </c:extLst>
                    <c:strCache>
                      <c:ptCount val="1"/>
                      <c:pt idx="0">
                        <c:v>EfficientNetV2 (fine-tune)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Sheet1!$B$1:$D$1</c15:sqref>
                        </c15:formulaRef>
                      </c:ext>
                    </c:extLst>
                    <c:strCache>
                      <c:ptCount val="3"/>
                      <c:pt idx="0">
                        <c:v>4000</c:v>
                      </c:pt>
                      <c:pt idx="1">
                        <c:v>8000</c:v>
                      </c:pt>
                      <c:pt idx="2">
                        <c:v>12000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Sheet1!$B$7:$D$7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0.96</c:v>
                      </c:pt>
                      <c:pt idx="1">
                        <c:v>0.97299999999999998</c:v>
                      </c:pt>
                      <c:pt idx="2">
                        <c:v>0.98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3F8-41D8-8385-F19221234BD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Sheet1!$A$9</c15:sqref>
                        </c15:formulaRef>
                      </c:ext>
                    </c:extLst>
                    <c:strCache>
                      <c:ptCount val="1"/>
                      <c:pt idx="0">
                        <c:v>ViT (fine-tune)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Sheet1!$B$1:$D$1</c15:sqref>
                        </c15:formulaRef>
                      </c:ext>
                    </c:extLst>
                    <c:strCache>
                      <c:ptCount val="3"/>
                      <c:pt idx="0">
                        <c:v>4000</c:v>
                      </c:pt>
                      <c:pt idx="1">
                        <c:v>8000</c:v>
                      </c:pt>
                      <c:pt idx="2">
                        <c:v>12000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Sheet1!$B$9:$D$9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0.94</c:v>
                      </c:pt>
                      <c:pt idx="1">
                        <c:v>0.96</c:v>
                      </c:pt>
                      <c:pt idx="2">
                        <c:v>0.96799999999999997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3F8-41D8-8385-F19221234BD9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Sheet1!$A$11</c15:sqref>
                        </c15:formulaRef>
                      </c:ext>
                    </c:extLst>
                    <c:strCache>
                      <c:ptCount val="1"/>
                      <c:pt idx="0">
                        <c:v>CvT (fine-tune)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Sheet1!$B$1:$D$1</c15:sqref>
                        </c15:formulaRef>
                      </c:ext>
                    </c:extLst>
                    <c:strCache>
                      <c:ptCount val="3"/>
                      <c:pt idx="0">
                        <c:v>4000</c:v>
                      </c:pt>
                      <c:pt idx="1">
                        <c:v>8000</c:v>
                      </c:pt>
                      <c:pt idx="2">
                        <c:v>12000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Sheet1!$B$11:$D$11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0.93100000000000005</c:v>
                      </c:pt>
                      <c:pt idx="1">
                        <c:v>0.96699999999999997</c:v>
                      </c:pt>
                      <c:pt idx="2">
                        <c:v>0.97199999999999998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3F8-41D8-8385-F19221234BD9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</c15:sqref>
                        </c15:formulaRef>
                      </c:ext>
                    </c:extLst>
                    <c:strCache>
                      <c:ptCount val="1"/>
                      <c:pt idx="0">
                        <c:v>SwinV2 (fine-tune)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Sheet1!$B$1:$D$1</c15:sqref>
                        </c15:formulaRef>
                      </c:ext>
                    </c:extLst>
                    <c:strCache>
                      <c:ptCount val="3"/>
                      <c:pt idx="0">
                        <c:v>4000</c:v>
                      </c:pt>
                      <c:pt idx="1">
                        <c:v>8000</c:v>
                      </c:pt>
                      <c:pt idx="2">
                        <c:v>12000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Sheet1!$B$13:$D$13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0.94899999999999995</c:v>
                      </c:pt>
                      <c:pt idx="1">
                        <c:v>0.96199999999999997</c:v>
                      </c:pt>
                      <c:pt idx="2">
                        <c:v>0.97299999999999998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3F8-41D8-8385-F19221234BD9}"/>
                  </c:ext>
                </c:extLst>
              </c15:ser>
            </c15:filteredLineSeries>
          </c:ext>
        </c:extLst>
      </c:lineChart>
      <c:catAx>
        <c:axId val="27736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75727"/>
        <c:crosses val="autoZero"/>
        <c:auto val="1"/>
        <c:lblAlgn val="ctr"/>
        <c:lblOffset val="100"/>
        <c:noMultiLvlLbl val="0"/>
      </c:catAx>
      <c:valAx>
        <c:axId val="277375727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6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Sum of 4000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Sheet2!$C$4:$C$16</c:f>
              <c:strCache>
                <c:ptCount val="12"/>
                <c:pt idx="0">
                  <c:v>CvT</c:v>
                </c:pt>
                <c:pt idx="1">
                  <c:v>CvT (fine-tune)</c:v>
                </c:pt>
                <c:pt idx="2">
                  <c:v>EfficientNetV2</c:v>
                </c:pt>
                <c:pt idx="3">
                  <c:v>EfficientNetV2 (fine-tune)</c:v>
                </c:pt>
                <c:pt idx="4">
                  <c:v>InceptionV3</c:v>
                </c:pt>
                <c:pt idx="5">
                  <c:v>InceptionV3 (fine-tune)</c:v>
                </c:pt>
                <c:pt idx="6">
                  <c:v>ResNet</c:v>
                </c:pt>
                <c:pt idx="7">
                  <c:v>ResNet (fine-tune)</c:v>
                </c:pt>
                <c:pt idx="8">
                  <c:v>Swin V2</c:v>
                </c:pt>
                <c:pt idx="9">
                  <c:v>Swin V2 (fine-tune)</c:v>
                </c:pt>
                <c:pt idx="10">
                  <c:v>ViT</c:v>
                </c:pt>
                <c:pt idx="11">
                  <c:v>ViT (fine-tune)</c:v>
                </c:pt>
              </c:strCache>
            </c:strRef>
          </c:cat>
          <c:val>
            <c:numRef>
              <c:f>Sheet2!$D$4:$D$16</c:f>
              <c:numCache>
                <c:formatCode>0.00%</c:formatCode>
                <c:ptCount val="12"/>
                <c:pt idx="0">
                  <c:v>0.79600000000000004</c:v>
                </c:pt>
                <c:pt idx="1">
                  <c:v>0.93100000000000005</c:v>
                </c:pt>
                <c:pt idx="2">
                  <c:v>0.55400000000000005</c:v>
                </c:pt>
                <c:pt idx="3">
                  <c:v>0.96</c:v>
                </c:pt>
                <c:pt idx="4">
                  <c:v>0.78100000000000003</c:v>
                </c:pt>
                <c:pt idx="5">
                  <c:v>0.95</c:v>
                </c:pt>
                <c:pt idx="6">
                  <c:v>0.82299999999999995</c:v>
                </c:pt>
                <c:pt idx="7">
                  <c:v>0.95299999999999996</c:v>
                </c:pt>
                <c:pt idx="8">
                  <c:v>0.504</c:v>
                </c:pt>
                <c:pt idx="9">
                  <c:v>0.94899999999999995</c:v>
                </c:pt>
                <c:pt idx="10">
                  <c:v>0.77200000000000002</c:v>
                </c:pt>
                <c:pt idx="11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2-446E-9795-A3CD2889D598}"/>
            </c:ext>
          </c:extLst>
        </c:ser>
        <c:ser>
          <c:idx val="1"/>
          <c:order val="1"/>
          <c:tx>
            <c:strRef>
              <c:f>Sheet2!$E$3</c:f>
              <c:strCache>
                <c:ptCount val="1"/>
                <c:pt idx="0">
                  <c:v>Sum of 8000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Sheet2!$C$4:$C$16</c:f>
              <c:strCache>
                <c:ptCount val="12"/>
                <c:pt idx="0">
                  <c:v>CvT</c:v>
                </c:pt>
                <c:pt idx="1">
                  <c:v>CvT (fine-tune)</c:v>
                </c:pt>
                <c:pt idx="2">
                  <c:v>EfficientNetV2</c:v>
                </c:pt>
                <c:pt idx="3">
                  <c:v>EfficientNetV2 (fine-tune)</c:v>
                </c:pt>
                <c:pt idx="4">
                  <c:v>InceptionV3</c:v>
                </c:pt>
                <c:pt idx="5">
                  <c:v>InceptionV3 (fine-tune)</c:v>
                </c:pt>
                <c:pt idx="6">
                  <c:v>ResNet</c:v>
                </c:pt>
                <c:pt idx="7">
                  <c:v>ResNet (fine-tune)</c:v>
                </c:pt>
                <c:pt idx="8">
                  <c:v>Swin V2</c:v>
                </c:pt>
                <c:pt idx="9">
                  <c:v>Swin V2 (fine-tune)</c:v>
                </c:pt>
                <c:pt idx="10">
                  <c:v>ViT</c:v>
                </c:pt>
                <c:pt idx="11">
                  <c:v>ViT (fine-tune)</c:v>
                </c:pt>
              </c:strCache>
            </c:strRef>
          </c:cat>
          <c:val>
            <c:numRef>
              <c:f>Sheet2!$E$4:$E$16</c:f>
              <c:numCache>
                <c:formatCode>0.00%</c:formatCode>
                <c:ptCount val="12"/>
                <c:pt idx="0">
                  <c:v>0.79900000000000004</c:v>
                </c:pt>
                <c:pt idx="1">
                  <c:v>0.96699999999999997</c:v>
                </c:pt>
                <c:pt idx="2">
                  <c:v>0.80300000000000005</c:v>
                </c:pt>
                <c:pt idx="3">
                  <c:v>0.97299999999999998</c:v>
                </c:pt>
                <c:pt idx="4">
                  <c:v>0.88200000000000001</c:v>
                </c:pt>
                <c:pt idx="5">
                  <c:v>0.97099999999999997</c:v>
                </c:pt>
                <c:pt idx="6">
                  <c:v>0.90200000000000002</c:v>
                </c:pt>
                <c:pt idx="7">
                  <c:v>0.96799999999999997</c:v>
                </c:pt>
                <c:pt idx="8">
                  <c:v>0.84699999999999998</c:v>
                </c:pt>
                <c:pt idx="9">
                  <c:v>0.96199999999999997</c:v>
                </c:pt>
                <c:pt idx="10">
                  <c:v>0.75700000000000001</c:v>
                </c:pt>
                <c:pt idx="11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2-446E-9795-A3CD2889D598}"/>
            </c:ext>
          </c:extLst>
        </c:ser>
        <c:ser>
          <c:idx val="2"/>
          <c:order val="2"/>
          <c:tx>
            <c:strRef>
              <c:f>Sheet2!$F$3</c:f>
              <c:strCache>
                <c:ptCount val="1"/>
                <c:pt idx="0">
                  <c:v>Sum of 12000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Sheet2!$C$4:$C$16</c:f>
              <c:strCache>
                <c:ptCount val="12"/>
                <c:pt idx="0">
                  <c:v>CvT</c:v>
                </c:pt>
                <c:pt idx="1">
                  <c:v>CvT (fine-tune)</c:v>
                </c:pt>
                <c:pt idx="2">
                  <c:v>EfficientNetV2</c:v>
                </c:pt>
                <c:pt idx="3">
                  <c:v>EfficientNetV2 (fine-tune)</c:v>
                </c:pt>
                <c:pt idx="4">
                  <c:v>InceptionV3</c:v>
                </c:pt>
                <c:pt idx="5">
                  <c:v>InceptionV3 (fine-tune)</c:v>
                </c:pt>
                <c:pt idx="6">
                  <c:v>ResNet</c:v>
                </c:pt>
                <c:pt idx="7">
                  <c:v>ResNet (fine-tune)</c:v>
                </c:pt>
                <c:pt idx="8">
                  <c:v>Swin V2</c:v>
                </c:pt>
                <c:pt idx="9">
                  <c:v>Swin V2 (fine-tune)</c:v>
                </c:pt>
                <c:pt idx="10">
                  <c:v>ViT</c:v>
                </c:pt>
                <c:pt idx="11">
                  <c:v>ViT (fine-tune)</c:v>
                </c:pt>
              </c:strCache>
            </c:strRef>
          </c:cat>
          <c:val>
            <c:numRef>
              <c:f>Sheet2!$F$4:$F$16</c:f>
              <c:numCache>
                <c:formatCode>0.00%</c:formatCode>
                <c:ptCount val="12"/>
                <c:pt idx="0">
                  <c:v>0.89900000000000002</c:v>
                </c:pt>
                <c:pt idx="1">
                  <c:v>0.97199999999999998</c:v>
                </c:pt>
                <c:pt idx="2">
                  <c:v>0.497</c:v>
                </c:pt>
                <c:pt idx="3">
                  <c:v>0.79300000000000004</c:v>
                </c:pt>
                <c:pt idx="4">
                  <c:v>0.89700000000000002</c:v>
                </c:pt>
                <c:pt idx="5">
                  <c:v>0.97599999999999998</c:v>
                </c:pt>
                <c:pt idx="6">
                  <c:v>0.91300000000000003</c:v>
                </c:pt>
                <c:pt idx="7">
                  <c:v>0.97299999999999998</c:v>
                </c:pt>
                <c:pt idx="8">
                  <c:v>0.57399999999999995</c:v>
                </c:pt>
                <c:pt idx="9">
                  <c:v>0.97299999999999998</c:v>
                </c:pt>
                <c:pt idx="10">
                  <c:v>0.81299999999999994</c:v>
                </c:pt>
                <c:pt idx="11">
                  <c:v>0.96799999999999997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52-446E-9795-A3CD2889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324383"/>
        <c:axId val="1707341183"/>
      </c:barChart>
      <c:catAx>
        <c:axId val="170732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41183"/>
        <c:crosses val="autoZero"/>
        <c:auto val="1"/>
        <c:lblAlgn val="ctr"/>
        <c:lblOffset val="100"/>
        <c:noMultiLvlLbl val="0"/>
      </c:catAx>
      <c:valAx>
        <c:axId val="170734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2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Accuracy across datasizes and model</a:t>
            </a:r>
            <a:r>
              <a:rPr lang="en-SG" baseline="0"/>
              <a:t>s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4000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ResNet</c:v>
                </c:pt>
                <c:pt idx="1">
                  <c:v>ResNet (fine-tune)</c:v>
                </c:pt>
                <c:pt idx="2">
                  <c:v>InceptionV3</c:v>
                </c:pt>
                <c:pt idx="3">
                  <c:v>InceptionV3 (fine-tune)</c:v>
                </c:pt>
                <c:pt idx="4">
                  <c:v>EfficientNetV2</c:v>
                </c:pt>
                <c:pt idx="5">
                  <c:v>EfficientNetV2 (fine-tune)</c:v>
                </c:pt>
                <c:pt idx="6">
                  <c:v>ViT</c:v>
                </c:pt>
                <c:pt idx="7">
                  <c:v>ViT (fine-tune)</c:v>
                </c:pt>
                <c:pt idx="8">
                  <c:v>CvT</c:v>
                </c:pt>
                <c:pt idx="9">
                  <c:v>CvT (fine-tune)</c:v>
                </c:pt>
                <c:pt idx="10">
                  <c:v>SwinV2</c:v>
                </c:pt>
                <c:pt idx="11">
                  <c:v>SwinV2 (fine-tune)</c:v>
                </c:pt>
              </c:strCache>
            </c:strRef>
          </c:cat>
          <c:val>
            <c:numRef>
              <c:f>Sheet1!$B$2:$B$13</c:f>
              <c:numCache>
                <c:formatCode>0.00%</c:formatCode>
                <c:ptCount val="12"/>
                <c:pt idx="0">
                  <c:v>0.82299999999999995</c:v>
                </c:pt>
                <c:pt idx="1">
                  <c:v>0.95299999999999996</c:v>
                </c:pt>
                <c:pt idx="2">
                  <c:v>0.78100000000000003</c:v>
                </c:pt>
                <c:pt idx="3">
                  <c:v>0.95</c:v>
                </c:pt>
                <c:pt idx="4">
                  <c:v>0.56699999999999995</c:v>
                </c:pt>
                <c:pt idx="5">
                  <c:v>0.96</c:v>
                </c:pt>
                <c:pt idx="6">
                  <c:v>0.77200000000000002</c:v>
                </c:pt>
                <c:pt idx="7">
                  <c:v>0.94</c:v>
                </c:pt>
                <c:pt idx="8">
                  <c:v>0.79600000000000004</c:v>
                </c:pt>
                <c:pt idx="9">
                  <c:v>0.93100000000000005</c:v>
                </c:pt>
                <c:pt idx="10">
                  <c:v>0.504</c:v>
                </c:pt>
                <c:pt idx="11">
                  <c:v>0.94899999999999995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5-4990-95B7-D1894238B23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8000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ResNet</c:v>
                </c:pt>
                <c:pt idx="1">
                  <c:v>ResNet (fine-tune)</c:v>
                </c:pt>
                <c:pt idx="2">
                  <c:v>InceptionV3</c:v>
                </c:pt>
                <c:pt idx="3">
                  <c:v>InceptionV3 (fine-tune)</c:v>
                </c:pt>
                <c:pt idx="4">
                  <c:v>EfficientNetV2</c:v>
                </c:pt>
                <c:pt idx="5">
                  <c:v>EfficientNetV2 (fine-tune)</c:v>
                </c:pt>
                <c:pt idx="6">
                  <c:v>ViT</c:v>
                </c:pt>
                <c:pt idx="7">
                  <c:v>ViT (fine-tune)</c:v>
                </c:pt>
                <c:pt idx="8">
                  <c:v>CvT</c:v>
                </c:pt>
                <c:pt idx="9">
                  <c:v>CvT (fine-tune)</c:v>
                </c:pt>
                <c:pt idx="10">
                  <c:v>SwinV2</c:v>
                </c:pt>
                <c:pt idx="11">
                  <c:v>SwinV2 (fine-tune)</c:v>
                </c:pt>
              </c:strCache>
            </c:strRef>
          </c:cat>
          <c:val>
            <c:numRef>
              <c:f>Sheet1!$C$2:$C$13</c:f>
              <c:numCache>
                <c:formatCode>0.00%</c:formatCode>
                <c:ptCount val="12"/>
                <c:pt idx="0">
                  <c:v>0.90200000000000002</c:v>
                </c:pt>
                <c:pt idx="1">
                  <c:v>0.96799999999999997</c:v>
                </c:pt>
                <c:pt idx="2">
                  <c:v>0.88200000000000001</c:v>
                </c:pt>
                <c:pt idx="3">
                  <c:v>0.97099999999999997</c:v>
                </c:pt>
                <c:pt idx="4">
                  <c:v>0.80300000000000005</c:v>
                </c:pt>
                <c:pt idx="5">
                  <c:v>0.97299999999999998</c:v>
                </c:pt>
                <c:pt idx="6">
                  <c:v>0.75700000000000001</c:v>
                </c:pt>
                <c:pt idx="7">
                  <c:v>0.96</c:v>
                </c:pt>
                <c:pt idx="8">
                  <c:v>0.79900000000000004</c:v>
                </c:pt>
                <c:pt idx="9">
                  <c:v>0.96699999999999997</c:v>
                </c:pt>
                <c:pt idx="10">
                  <c:v>0.84699999999999998</c:v>
                </c:pt>
                <c:pt idx="11">
                  <c:v>0.96199999999999997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5-4990-95B7-D1894238B23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12000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ResNet</c:v>
                </c:pt>
                <c:pt idx="1">
                  <c:v>ResNet (fine-tune)</c:v>
                </c:pt>
                <c:pt idx="2">
                  <c:v>InceptionV3</c:v>
                </c:pt>
                <c:pt idx="3">
                  <c:v>InceptionV3 (fine-tune)</c:v>
                </c:pt>
                <c:pt idx="4">
                  <c:v>EfficientNetV2</c:v>
                </c:pt>
                <c:pt idx="5">
                  <c:v>EfficientNetV2 (fine-tune)</c:v>
                </c:pt>
                <c:pt idx="6">
                  <c:v>ViT</c:v>
                </c:pt>
                <c:pt idx="7">
                  <c:v>ViT (fine-tune)</c:v>
                </c:pt>
                <c:pt idx="8">
                  <c:v>CvT</c:v>
                </c:pt>
                <c:pt idx="9">
                  <c:v>CvT (fine-tune)</c:v>
                </c:pt>
                <c:pt idx="10">
                  <c:v>SwinV2</c:v>
                </c:pt>
                <c:pt idx="11">
                  <c:v>SwinV2 (fine-tune)</c:v>
                </c:pt>
              </c:strCache>
            </c:strRef>
          </c:cat>
          <c:val>
            <c:numRef>
              <c:f>Sheet1!$D$2:$D$13</c:f>
              <c:numCache>
                <c:formatCode>0.00%</c:formatCode>
                <c:ptCount val="12"/>
                <c:pt idx="0">
                  <c:v>0.91300000000000003</c:v>
                </c:pt>
                <c:pt idx="1">
                  <c:v>0.97299999999999998</c:v>
                </c:pt>
                <c:pt idx="2">
                  <c:v>0.89700000000000002</c:v>
                </c:pt>
                <c:pt idx="3">
                  <c:v>0.97599999999999998</c:v>
                </c:pt>
                <c:pt idx="4">
                  <c:v>0.92800000000000005</c:v>
                </c:pt>
                <c:pt idx="5">
                  <c:v>0.98</c:v>
                </c:pt>
                <c:pt idx="6">
                  <c:v>0.81299999999999994</c:v>
                </c:pt>
                <c:pt idx="7">
                  <c:v>0.96799999999999997</c:v>
                </c:pt>
                <c:pt idx="8">
                  <c:v>0.89900000000000002</c:v>
                </c:pt>
                <c:pt idx="9">
                  <c:v>0.97199999999999998</c:v>
                </c:pt>
                <c:pt idx="10">
                  <c:v>0.57399999999999995</c:v>
                </c:pt>
                <c:pt idx="11">
                  <c:v>0.97299999999999998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5-4990-95B7-D1894238B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260623"/>
        <c:axId val="140259183"/>
      </c:barChart>
      <c:catAx>
        <c:axId val="140260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9183"/>
        <c:crosses val="autoZero"/>
        <c:auto val="1"/>
        <c:lblAlgn val="ctr"/>
        <c:lblOffset val="100"/>
        <c:noMultiLvlLbl val="0"/>
      </c:catAx>
      <c:valAx>
        <c:axId val="14025918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6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89649</xdr:colOff>
      <xdr:row>1</xdr:row>
      <xdr:rowOff>77881</xdr:rowOff>
    </xdr:from>
    <xdr:to>
      <xdr:col>22</xdr:col>
      <xdr:colOff>280147</xdr:colOff>
      <xdr:row>25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D17CCF-C689-1010-2960-56B7D2D8D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1160645</xdr:colOff>
      <xdr:row>23</xdr:row>
      <xdr:rowOff>22412</xdr:rowOff>
    </xdr:from>
    <xdr:to>
      <xdr:col>11</xdr:col>
      <xdr:colOff>324970</xdr:colOff>
      <xdr:row>44</xdr:row>
      <xdr:rowOff>68634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9F2B9D-CEC8-7946-E69B-E9774947C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280148</xdr:colOff>
      <xdr:row>27</xdr:row>
      <xdr:rowOff>33617</xdr:rowOff>
    </xdr:from>
    <xdr:to>
      <xdr:col>22</xdr:col>
      <xdr:colOff>470646</xdr:colOff>
      <xdr:row>50</xdr:row>
      <xdr:rowOff>157442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746CBD-534E-409C-B3FE-09BE5DF98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587595</xdr:colOff>
      <xdr:row>1</xdr:row>
      <xdr:rowOff>177526</xdr:rowOff>
    </xdr:from>
    <xdr:to>
      <xdr:col>14</xdr:col>
      <xdr:colOff>282795</xdr:colOff>
      <xdr:row>16</xdr:row>
      <xdr:rowOff>63226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87867-9E15-3237-A4CD-C1F558CAA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447260</xdr:colOff>
      <xdr:row>20</xdr:row>
      <xdr:rowOff>57977</xdr:rowOff>
    </xdr:from>
    <xdr:to>
      <xdr:col>13</xdr:col>
      <xdr:colOff>538369</xdr:colOff>
      <xdr:row>41</xdr:row>
      <xdr:rowOff>182216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742726-FDD0-432C-933A-54BB193E0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ng Wai Hoe" refreshedDate="45757.467229050926" createdVersion="8" refreshedVersion="8" minRefreshableVersion="3" recordCount="12" xr:uid="{EDAD6B99-FD98-43C2-95CF-6EECCE4C460E}">
  <cacheSource type="worksheet">
    <worksheetSource ref="A1:D13" sheet="Sheet1"/>
  </cacheSource>
  <cacheFields count="4">
    <cacheField name="Model\Training data size" numFmtId="0">
      <sharedItems count="12">
        <s v="ResNet"/>
        <s v="ResNet (fine-tune)"/>
        <s v="InceptionV3"/>
        <s v="InceptionV3 (fine-tune)"/>
        <s v="EfficientNetV2"/>
        <s v="EfficientNetV2 (fine-tune)"/>
        <s v="ViT"/>
        <s v="ViT (fine-tune)"/>
        <s v="CvT"/>
        <s v="CvT (fine-tune)"/>
        <s v="Swin V2"/>
        <s v="Swin V2 (fine-tune)"/>
      </sharedItems>
    </cacheField>
    <cacheField name="4000" numFmtId="10">
      <sharedItems containsSemiMixedTypes="0" containsString="0" containsNumber="1" minValue="0.504" maxValue="0.96"/>
    </cacheField>
    <cacheField name="8000" numFmtId="10">
      <sharedItems containsSemiMixedTypes="0" containsString="0" containsNumber="1" minValue="0.75700000000000001" maxValue="0.97299999999999998"/>
    </cacheField>
    <cacheField name="12000" numFmtId="10">
      <sharedItems containsSemiMixedTypes="0" containsString="0" containsNumber="1" minValue="0.497" maxValue="0.975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0.82299999999999995"/>
    <n v="0.90200000000000002"/>
    <n v="0.91300000000000003"/>
  </r>
  <r>
    <x v="1"/>
    <n v="0.95299999999999996"/>
    <n v="0.96799999999999997"/>
    <n v="0.97299999999999998"/>
  </r>
  <r>
    <x v="2"/>
    <n v="0.78100000000000003"/>
    <n v="0.88200000000000001"/>
    <n v="0.89700000000000002"/>
  </r>
  <r>
    <x v="3"/>
    <n v="0.95"/>
    <n v="0.97099999999999997"/>
    <n v="0.97599999999999998"/>
  </r>
  <r>
    <x v="4"/>
    <n v="0.55400000000000005"/>
    <n v="0.80300000000000005"/>
    <n v="0.497"/>
  </r>
  <r>
    <x v="5"/>
    <n v="0.96"/>
    <n v="0.97299999999999998"/>
    <n v="0.79300000000000004"/>
  </r>
  <r>
    <x v="6"/>
    <n v="0.77200000000000002"/>
    <n v="0.75700000000000001"/>
    <n v="0.81299999999999994"/>
  </r>
  <r>
    <x v="7"/>
    <n v="0.94"/>
    <n v="0.96"/>
    <n v="0.96799999999999997"/>
  </r>
  <r>
    <x v="8"/>
    <n v="0.79600000000000004"/>
    <n v="0.79900000000000004"/>
    <n v="0.89900000000000002"/>
  </r>
  <r>
    <x v="9"/>
    <n v="0.93100000000000005"/>
    <n v="0.96699999999999997"/>
    <n v="0.97199999999999998"/>
  </r>
  <r>
    <x v="10"/>
    <n v="0.504"/>
    <n v="0.84699999999999998"/>
    <n v="0.57399999999999995"/>
  </r>
  <r>
    <x v="11"/>
    <n v="0.94899999999999995"/>
    <n v="0.96199999999999997"/>
    <n v="0.972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43F57-C725-4267-AEEA-9326996DC7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C3:F16" firstHeaderRow="0" firstDataRow="1" firstDataCol="1"/>
  <pivotFields count="4">
    <pivotField axis="axisRow" showAll="0">
      <items count="13">
        <item x="8"/>
        <item x="9"/>
        <item x="4"/>
        <item x="5"/>
        <item x="2"/>
        <item x="3"/>
        <item x="0"/>
        <item x="1"/>
        <item x="10"/>
        <item x="11"/>
        <item x="6"/>
        <item x="7"/>
        <item t="default"/>
      </items>
    </pivotField>
    <pivotField dataField="1" numFmtId="10" showAll="0"/>
    <pivotField dataField="1" numFmtId="10" showAll="0"/>
    <pivotField dataField="1" numFmtId="1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4000" fld="1" baseField="0" baseItem="0" numFmtId="10"/>
    <dataField name="Sum of 8000" fld="2" baseField="0" baseItem="0" numFmtId="10"/>
    <dataField name="Sum of 12000" fld="3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EAEC6E-5447-4E36-8D59-42E3E6DAA083}" name="Table2" displayName="Table2" ref="A1:E14" totalsRowShown="0">
  <autoFilter ref="A1:E14" xr:uid="{F5EAEC6E-5447-4E36-8D59-42E3E6DAA083}"/>
  <tableColumns count="5">
    <tableColumn id="1" xr3:uid="{4DADEE15-8A9C-4261-AFBB-FCC237FBFF32}" name="Model\Training data size" dataDxfId="13"/>
    <tableColumn id="2" xr3:uid="{2CDC2B5A-DEA7-4603-8850-3897F2CDF776}" name="4000" dataDxfId="12"/>
    <tableColumn id="3" xr3:uid="{5060743F-C095-4F0A-96EC-4EF75F791B0C}" name="8000" dataDxfId="11"/>
    <tableColumn id="4" xr3:uid="{2F8F5957-488C-4C0E-BA55-0DA7501484F9}" name="12000" dataDxfId="10"/>
    <tableColumn id="6" xr3:uid="{E0A3210C-CFA0-4FA4-9F33-31A5587D325C}" name="Average" dataDxfId="9">
      <calculatedColumnFormula>AVERAGE(Table2[[#This Row],[4000]:[12000]])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84167-E8B8-4688-AA9F-A38E7C81738C}" name="Table1" displayName="Table1" ref="A1:E3" totalsRowShown="0" headerRowDxfId="1" dataDxfId="2" headerRowBorderDxfId="7" tableBorderDxfId="8">
  <autoFilter ref="A1:E3" xr:uid="{00584167-E8B8-4688-AA9F-A38E7C81738C}"/>
  <tableColumns count="5">
    <tableColumn id="1" xr3:uid="{7517984C-FBD6-4098-B6BC-AD0C2141CEA1}" name="Model\Training data size" dataDxfId="6"/>
    <tableColumn id="2" xr3:uid="{F6F5F28E-8E2E-4C1C-AB6F-B9652822A90B}" name="4000" dataDxfId="5"/>
    <tableColumn id="3" xr3:uid="{B7126FF2-A512-473B-9814-9AB6075BC78B}" name="8000" dataDxfId="4"/>
    <tableColumn id="4" xr3:uid="{04D568F7-6F94-4148-AC2E-ED1510ED4210}" name="12000" dataDxfId="3"/>
    <tableColumn id="5" xr3:uid="{A1C62948-0A19-4A9F-BAF7-7B448793D1B9}" name="Average" dataDxfId="0">
      <calculatedColumnFormula>AVERAGE(Table1[[#This Row],[4000]:[12000]])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132D-85C8-4537-B276-E0D44FA3F383}">
  <dimension ref="A1:E14"/>
  <sheetViews>
    <sheetView tabSelected="1" zoomScale="85" zoomScaleNormal="85" workbookViewId="0">
      <selection activeCell="F14" sqref="F14"/>
    </sheetView>
  </sheetViews>
  <sheetFormatPr defaultRowHeight="15" x14ac:dyDescent="0.25"/>
  <cols>
    <col min="1" max="1" width="24.85546875" customWidth="1"/>
    <col min="2" max="2" width="13.14062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s="2" t="s">
        <v>8</v>
      </c>
      <c r="B2" s="3">
        <v>0.82299999999999995</v>
      </c>
      <c r="C2" s="3">
        <v>0.90200000000000002</v>
      </c>
      <c r="D2" s="3">
        <v>0.91300000000000003</v>
      </c>
      <c r="E2" s="3">
        <f>AVERAGE(Table2[[#This Row],[4000]:[12000]])</f>
        <v>0.8793333333333333</v>
      </c>
    </row>
    <row r="3" spans="1:5" x14ac:dyDescent="0.25">
      <c r="A3" s="2" t="s">
        <v>9</v>
      </c>
      <c r="B3" s="3">
        <v>0.95299999999999996</v>
      </c>
      <c r="C3" s="3">
        <v>0.96799999999999997</v>
      </c>
      <c r="D3" s="3">
        <v>0.97299999999999998</v>
      </c>
      <c r="E3" s="3">
        <f>AVERAGE(Table2[[#This Row],[4000]:[12000]])</f>
        <v>0.96466666666666656</v>
      </c>
    </row>
    <row r="4" spans="1:5" x14ac:dyDescent="0.25">
      <c r="A4" s="2" t="s">
        <v>13</v>
      </c>
      <c r="B4" s="3">
        <v>0.78100000000000003</v>
      </c>
      <c r="C4" s="3">
        <v>0.88200000000000001</v>
      </c>
      <c r="D4" s="3">
        <v>0.89700000000000002</v>
      </c>
      <c r="E4" s="3">
        <f>AVERAGE(Table2[[#This Row],[4000]:[12000]])</f>
        <v>0.85333333333333339</v>
      </c>
    </row>
    <row r="5" spans="1:5" x14ac:dyDescent="0.25">
      <c r="A5" s="2" t="s">
        <v>14</v>
      </c>
      <c r="B5" s="3">
        <v>0.95</v>
      </c>
      <c r="C5" s="3">
        <v>0.97099999999999997</v>
      </c>
      <c r="D5" s="3">
        <v>0.97599999999999998</v>
      </c>
      <c r="E5" s="3">
        <f>AVERAGE(Table2[[#This Row],[4000]:[12000]])</f>
        <v>0.96566666666666656</v>
      </c>
    </row>
    <row r="6" spans="1:5" x14ac:dyDescent="0.25">
      <c r="A6" s="2" t="s">
        <v>15</v>
      </c>
      <c r="B6" s="3">
        <v>0.56699999999999995</v>
      </c>
      <c r="C6" s="3">
        <v>0.80300000000000005</v>
      </c>
      <c r="D6" s="3">
        <v>0.92800000000000005</v>
      </c>
      <c r="E6" s="3">
        <f>AVERAGE(Table2[[#This Row],[4000]:[12000]])</f>
        <v>0.76600000000000001</v>
      </c>
    </row>
    <row r="7" spans="1:5" x14ac:dyDescent="0.25">
      <c r="A7" s="2" t="s">
        <v>16</v>
      </c>
      <c r="B7" s="3">
        <v>0.96</v>
      </c>
      <c r="C7" s="3">
        <v>0.97299999999999998</v>
      </c>
      <c r="D7" s="3">
        <v>0.98</v>
      </c>
      <c r="E7" s="3">
        <f>AVERAGE(Table2[[#This Row],[4000]:[12000]])</f>
        <v>0.97099999999999997</v>
      </c>
    </row>
    <row r="8" spans="1:5" x14ac:dyDescent="0.25">
      <c r="A8" s="2" t="s">
        <v>0</v>
      </c>
      <c r="B8" s="3">
        <v>0.77200000000000002</v>
      </c>
      <c r="C8" s="3">
        <v>0.75700000000000001</v>
      </c>
      <c r="D8" s="3">
        <v>0.81299999999999994</v>
      </c>
      <c r="E8" s="3">
        <f>AVERAGE(Table2[[#This Row],[4000]:[12000]])</f>
        <v>0.78066666666666651</v>
      </c>
    </row>
    <row r="9" spans="1:5" x14ac:dyDescent="0.25">
      <c r="A9" s="2" t="s">
        <v>10</v>
      </c>
      <c r="B9" s="3">
        <v>0.94</v>
      </c>
      <c r="C9" s="3">
        <v>0.96</v>
      </c>
      <c r="D9" s="3">
        <v>0.96799999999999997</v>
      </c>
      <c r="E9" s="3">
        <f>AVERAGE(Table2[[#This Row],[4000]:[12000]])</f>
        <v>0.95599999999999996</v>
      </c>
    </row>
    <row r="10" spans="1:5" x14ac:dyDescent="0.25">
      <c r="A10" s="2" t="s">
        <v>1</v>
      </c>
      <c r="B10" s="3">
        <v>0.79600000000000004</v>
      </c>
      <c r="C10" s="3">
        <v>0.79900000000000004</v>
      </c>
      <c r="D10" s="3">
        <v>0.89900000000000002</v>
      </c>
      <c r="E10" s="3">
        <f>AVERAGE(Table2[[#This Row],[4000]:[12000]])</f>
        <v>0.83133333333333337</v>
      </c>
    </row>
    <row r="11" spans="1:5" x14ac:dyDescent="0.25">
      <c r="A11" s="2" t="s">
        <v>11</v>
      </c>
      <c r="B11" s="3">
        <v>0.93100000000000005</v>
      </c>
      <c r="C11" s="4">
        <v>0.96699999999999997</v>
      </c>
      <c r="D11" s="3">
        <v>0.97199999999999998</v>
      </c>
      <c r="E11" s="3">
        <f>AVERAGE(Table2[[#This Row],[4000]:[12000]])</f>
        <v>0.95666666666666667</v>
      </c>
    </row>
    <row r="12" spans="1:5" x14ac:dyDescent="0.25">
      <c r="A12" s="2" t="s">
        <v>23</v>
      </c>
      <c r="B12" s="3">
        <v>0.504</v>
      </c>
      <c r="C12" s="3">
        <v>0.84699999999999998</v>
      </c>
      <c r="D12" s="3">
        <v>0.57399999999999995</v>
      </c>
      <c r="E12" s="3">
        <f>AVERAGE(Table2[[#This Row],[4000]:[12000]])</f>
        <v>0.64166666666666661</v>
      </c>
    </row>
    <row r="13" spans="1:5" x14ac:dyDescent="0.25">
      <c r="A13" s="2" t="s">
        <v>22</v>
      </c>
      <c r="B13" s="4">
        <v>0.94899999999999995</v>
      </c>
      <c r="C13" s="3">
        <v>0.96199999999999997</v>
      </c>
      <c r="D13" s="4">
        <v>0.97299999999999998</v>
      </c>
      <c r="E13" s="5">
        <f>AVERAGE(Table2[[#This Row],[4000]:[12000]])</f>
        <v>0.96133333333333326</v>
      </c>
    </row>
    <row r="14" spans="1:5" x14ac:dyDescent="0.25">
      <c r="A14" s="2" t="s">
        <v>6</v>
      </c>
      <c r="B14" s="3">
        <f>AVERAGE(B8:B11)</f>
        <v>0.85975000000000001</v>
      </c>
      <c r="C14" s="3">
        <f>AVERAGE(C8:C11)</f>
        <v>0.87075000000000002</v>
      </c>
      <c r="D14" s="5">
        <f>AVERAGE(D8:D11)</f>
        <v>0.91299999999999992</v>
      </c>
      <c r="E14" s="3"/>
    </row>
  </sheetData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C45F-A386-4EDA-9310-2A348E7CEB45}">
  <dimension ref="A1:E3"/>
  <sheetViews>
    <sheetView workbookViewId="0">
      <selection activeCell="I6" sqref="I6"/>
    </sheetView>
  </sheetViews>
  <sheetFormatPr defaultRowHeight="15" x14ac:dyDescent="0.25"/>
  <cols>
    <col min="1" max="1" width="41.7109375" bestFit="1" customWidth="1"/>
    <col min="5" max="5" width="10.28515625" customWidth="1"/>
  </cols>
  <sheetData>
    <row r="1" spans="1:5" x14ac:dyDescent="0.25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</row>
    <row r="2" spans="1:5" x14ac:dyDescent="0.25">
      <c r="A2" s="8" t="s">
        <v>16</v>
      </c>
      <c r="B2" s="3">
        <v>0.96</v>
      </c>
      <c r="C2" s="3">
        <v>0.97299999999999998</v>
      </c>
      <c r="D2" s="3">
        <v>0.98</v>
      </c>
      <c r="E2" s="3">
        <f>AVERAGE(Table1[[#This Row],[4000]:[12000]])</f>
        <v>0.97099999999999997</v>
      </c>
    </row>
    <row r="3" spans="1:5" x14ac:dyDescent="0.25">
      <c r="A3" s="8" t="s">
        <v>24</v>
      </c>
      <c r="B3" s="9">
        <v>0.97199999999999998</v>
      </c>
      <c r="C3" s="9">
        <v>0.97699999999999998</v>
      </c>
      <c r="D3" s="9">
        <v>0.98099999999999998</v>
      </c>
      <c r="E3" s="9">
        <f>AVERAGE(Table1[[#This Row],[4000]:[12000]])</f>
        <v>0.97666666666666657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41C8-98F9-4E7E-AFD1-D4810AB8AD9A}">
  <dimension ref="C3:F16"/>
  <sheetViews>
    <sheetView topLeftCell="A19" zoomScale="115" zoomScaleNormal="115" workbookViewId="0">
      <selection activeCell="Q31" sqref="Q31"/>
    </sheetView>
  </sheetViews>
  <sheetFormatPr defaultRowHeight="15" x14ac:dyDescent="0.25"/>
  <cols>
    <col min="3" max="3" width="23.28515625" bestFit="1" customWidth="1"/>
    <col min="4" max="5" width="11.7109375" bestFit="1" customWidth="1"/>
    <col min="6" max="6" width="12.7109375" bestFit="1" customWidth="1"/>
  </cols>
  <sheetData>
    <row r="3" spans="3:6" x14ac:dyDescent="0.25">
      <c r="C3" s="6" t="s">
        <v>17</v>
      </c>
      <c r="D3" t="s">
        <v>19</v>
      </c>
      <c r="E3" t="s">
        <v>20</v>
      </c>
      <c r="F3" t="s">
        <v>21</v>
      </c>
    </row>
    <row r="4" spans="3:6" x14ac:dyDescent="0.25">
      <c r="C4" s="7" t="s">
        <v>1</v>
      </c>
      <c r="D4" s="1">
        <v>0.79600000000000004</v>
      </c>
      <c r="E4" s="1">
        <v>0.79900000000000004</v>
      </c>
      <c r="F4" s="1">
        <v>0.89900000000000002</v>
      </c>
    </row>
    <row r="5" spans="3:6" x14ac:dyDescent="0.25">
      <c r="C5" s="7" t="s">
        <v>11</v>
      </c>
      <c r="D5" s="1">
        <v>0.93100000000000005</v>
      </c>
      <c r="E5" s="1">
        <v>0.96699999999999997</v>
      </c>
      <c r="F5" s="1">
        <v>0.97199999999999998</v>
      </c>
    </row>
    <row r="6" spans="3:6" x14ac:dyDescent="0.25">
      <c r="C6" s="7" t="s">
        <v>15</v>
      </c>
      <c r="D6" s="1">
        <v>0.55400000000000005</v>
      </c>
      <c r="E6" s="1">
        <v>0.80300000000000005</v>
      </c>
      <c r="F6" s="1">
        <v>0.497</v>
      </c>
    </row>
    <row r="7" spans="3:6" x14ac:dyDescent="0.25">
      <c r="C7" s="7" t="s">
        <v>16</v>
      </c>
      <c r="D7" s="1">
        <v>0.96</v>
      </c>
      <c r="E7" s="1">
        <v>0.97299999999999998</v>
      </c>
      <c r="F7" s="1">
        <v>0.79300000000000004</v>
      </c>
    </row>
    <row r="8" spans="3:6" x14ac:dyDescent="0.25">
      <c r="C8" s="7" t="s">
        <v>13</v>
      </c>
      <c r="D8" s="1">
        <v>0.78100000000000003</v>
      </c>
      <c r="E8" s="1">
        <v>0.88200000000000001</v>
      </c>
      <c r="F8" s="1">
        <v>0.89700000000000002</v>
      </c>
    </row>
    <row r="9" spans="3:6" x14ac:dyDescent="0.25">
      <c r="C9" s="7" t="s">
        <v>14</v>
      </c>
      <c r="D9" s="1">
        <v>0.95</v>
      </c>
      <c r="E9" s="1">
        <v>0.97099999999999997</v>
      </c>
      <c r="F9" s="1">
        <v>0.97599999999999998</v>
      </c>
    </row>
    <row r="10" spans="3:6" x14ac:dyDescent="0.25">
      <c r="C10" s="7" t="s">
        <v>8</v>
      </c>
      <c r="D10" s="1">
        <v>0.82299999999999995</v>
      </c>
      <c r="E10" s="1">
        <v>0.90200000000000002</v>
      </c>
      <c r="F10" s="1">
        <v>0.91300000000000003</v>
      </c>
    </row>
    <row r="11" spans="3:6" x14ac:dyDescent="0.25">
      <c r="C11" s="7" t="s">
        <v>9</v>
      </c>
      <c r="D11" s="1">
        <v>0.95299999999999996</v>
      </c>
      <c r="E11" s="1">
        <v>0.96799999999999997</v>
      </c>
      <c r="F11" s="1">
        <v>0.97299999999999998</v>
      </c>
    </row>
    <row r="12" spans="3:6" x14ac:dyDescent="0.25">
      <c r="C12" s="7" t="s">
        <v>7</v>
      </c>
      <c r="D12" s="1">
        <v>0.504</v>
      </c>
      <c r="E12" s="1">
        <v>0.84699999999999998</v>
      </c>
      <c r="F12" s="1">
        <v>0.57399999999999995</v>
      </c>
    </row>
    <row r="13" spans="3:6" x14ac:dyDescent="0.25">
      <c r="C13" s="7" t="s">
        <v>12</v>
      </c>
      <c r="D13" s="1">
        <v>0.94899999999999995</v>
      </c>
      <c r="E13" s="1">
        <v>0.96199999999999997</v>
      </c>
      <c r="F13" s="1">
        <v>0.97299999999999998</v>
      </c>
    </row>
    <row r="14" spans="3:6" x14ac:dyDescent="0.25">
      <c r="C14" s="7" t="s">
        <v>0</v>
      </c>
      <c r="D14" s="1">
        <v>0.77200000000000002</v>
      </c>
      <c r="E14" s="1">
        <v>0.75700000000000001</v>
      </c>
      <c r="F14" s="1">
        <v>0.81299999999999994</v>
      </c>
    </row>
    <row r="15" spans="3:6" x14ac:dyDescent="0.25">
      <c r="C15" s="7" t="s">
        <v>10</v>
      </c>
      <c r="D15" s="1">
        <v>0.94</v>
      </c>
      <c r="E15" s="1">
        <v>0.96</v>
      </c>
      <c r="F15" s="1">
        <v>0.96799999999999997</v>
      </c>
    </row>
    <row r="16" spans="3:6" x14ac:dyDescent="0.25">
      <c r="C16" s="7" t="s">
        <v>18</v>
      </c>
      <c r="D16" s="1">
        <v>9.9130000000000003</v>
      </c>
      <c r="E16" s="1">
        <v>10.791</v>
      </c>
      <c r="F16" s="1">
        <v>10.248000000000001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#WONG WAI HOE#</dc:creator>
  <cp:lastModifiedBy>#WONG WAI HOE#</cp:lastModifiedBy>
  <dcterms:created xsi:type="dcterms:W3CDTF">2025-04-02T01:40:00Z</dcterms:created>
  <dcterms:modified xsi:type="dcterms:W3CDTF">2025-04-10T12:01:48Z</dcterms:modified>
</cp:coreProperties>
</file>